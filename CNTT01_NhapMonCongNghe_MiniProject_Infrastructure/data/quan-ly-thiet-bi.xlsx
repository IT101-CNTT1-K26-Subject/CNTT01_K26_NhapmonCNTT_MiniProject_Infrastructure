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danh-muc-linh-kien" sheetId="1" state="visible" r:id="rId1"/>
    <sheet name="trang-thai-ram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<sst xmlns="http://schemas.openxmlformats.org/spreadsheetml/2006/main" count="31" uniqueCount="31">
  <si>
    <t xml:space="preserve">A (ma_linh_kien)</t>
  </si>
  <si>
    <t xml:space="preserve">B (ten_thiet_bi)</t>
  </si>
  <si>
    <t xml:space="preserve">C (don_gia)</t>
  </si>
  <si>
    <t xml:space="preserve">D (loai_storage)</t>
  </si>
  <si>
    <t>LK-RAM-01</t>
  </si>
  <si>
    <t xml:space="preserve">RAM DDR4 4GB Kingmax</t>
  </si>
  <si>
    <t>N/A</t>
  </si>
  <si>
    <t>LK-RAM-02</t>
  </si>
  <si>
    <t xml:space="preserve">RAM DDR4 8GB Kingston</t>
  </si>
  <si>
    <t>LK-SSD-01</t>
  </si>
  <si>
    <t xml:space="preserve">SSD 256GB NVMe Samsung</t>
  </si>
  <si>
    <t>SSD</t>
  </si>
  <si>
    <t>LK-HDD-01</t>
  </si>
  <si>
    <t xml:space="preserve">HDD 1TB Seagate Western</t>
  </si>
  <si>
    <t>HDD</t>
  </si>
  <si>
    <t xml:space="preserve">A (ma_tram)</t>
  </si>
  <si>
    <t xml:space="preserve">B (ma_linh_kien)</t>
  </si>
  <si>
    <t xml:space="preserve">C (ten_thiet_bi) - CÔNG THỨC</t>
  </si>
  <si>
    <t xml:space="preserve">D (dung_luong_ram)</t>
  </si>
  <si>
    <t xml:space="preserve">E (ngay_lap_dat)</t>
  </si>
  <si>
    <t xml:space="preserve">Hàng 2</t>
  </si>
  <si>
    <t>TRAM-01</t>
  </si>
  <si>
    <t>4GB</t>
  </si>
  <si>
    <t xml:space="preserve">Hàng 3</t>
  </si>
  <si>
    <t>TRAM-02</t>
  </si>
  <si>
    <t>8GB</t>
  </si>
  <si>
    <t xml:space="preserve">Hàng 4</t>
  </si>
  <si>
    <t>TRAM-03</t>
  </si>
  <si>
    <t xml:space="preserve">Hàng 5</t>
  </si>
  <si>
    <t>TRAM-04</t>
  </si>
  <si>
    <t>16GB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</si>
</sst>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11.000000"/>
      <color theme="0"/>
      <name val="Calibri"/>
      <scheme val="minor"/>
    </font>
    <font>
      <sz val="12.000000"/>
      <color indexed="64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39997558519241921"/>
        <bgColor theme="4" tint="0.39997558519241921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3">
    <xf fontId="0" fillId="0" borderId="0" numFmtId="0" applyNumberFormat="1" applyFont="1" applyFill="1" applyBorder="1"/>
    <xf fontId="1" fillId="2" borderId="0" numFmtId="0" applyNumberFormat="0" applyFont="1" applyFill="1" applyBorder="0"/>
    <xf fontId="1" fillId="3" borderId="0" numFmtId="0" applyNumberFormat="0" applyFont="1" applyFill="1" applyBorder="0"/>
  </cellStyleXfs>
  <cellXfs count="9">
    <xf fontId="0" fillId="0" borderId="0" numFmtId="0" xfId="0"/>
    <xf fontId="1" fillId="3" borderId="1" numFmtId="0" xfId="2" applyFont="1" applyFill="1" applyBorder="1" applyAlignment="1">
      <alignment horizontal="center" vertical="center" wrapText="1"/>
    </xf>
    <xf fontId="2" fillId="0" borderId="1" numFmtId="0" xfId="0" applyFont="1" applyBorder="1" applyAlignment="1">
      <alignment horizontal="left" vertical="center" wrapText="1"/>
    </xf>
    <xf fontId="1" fillId="3" borderId="0" numFmtId="0" xfId="2" applyFont="1" applyFill="1"/>
    <xf fontId="0" fillId="0" borderId="0" numFmtId="0" xfId="0"/>
    <xf fontId="2" fillId="0" borderId="0" numFmtId="0" xfId="0" applyFont="1" applyAlignment="1">
      <alignment horizontal="left"/>
    </xf>
    <xf fontId="0" fillId="0" borderId="0" numFmtId="14" xfId="0" applyNumberFormat="1"/>
    <xf fontId="0" fillId="0" borderId="0" numFmtId="0" xfId="0"/>
    <xf fontId="0" fillId="0" borderId="0" numFmtId="0" xfId="0"/>
  </cellXfs>
  <cellStyles count="3">
    <cellStyle name="Normal" xfId="0" builtinId="0"/>
    <cellStyle name="Accent1" xfId="1" builtinId="29"/>
    <cellStyle name="60% - Accent1" xfId="2" builtinId="3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3" ht="42.75">
      <c r="A3" s="1" t="s">
        <v>0</v>
      </c>
      <c r="B3" s="1" t="s">
        <v>1</v>
      </c>
      <c r="C3" s="1" t="s">
        <v>2</v>
      </c>
      <c r="D3" s="1" t="s">
        <v>3</v>
      </c>
    </row>
    <row r="4" ht="60">
      <c r="A4" s="2" t="s">
        <v>4</v>
      </c>
      <c r="B4" s="2" t="s">
        <v>5</v>
      </c>
      <c r="C4" s="2">
        <v>450000</v>
      </c>
      <c r="D4" s="2" t="s">
        <v>6</v>
      </c>
    </row>
    <row r="5" ht="60">
      <c r="A5" s="2" t="s">
        <v>7</v>
      </c>
      <c r="B5" s="2" t="s">
        <v>8</v>
      </c>
      <c r="C5" s="2">
        <v>850000</v>
      </c>
      <c r="D5" s="2" t="s">
        <v>6</v>
      </c>
    </row>
    <row r="6" ht="60">
      <c r="A6" s="2" t="s">
        <v>9</v>
      </c>
      <c r="B6" s="2" t="s">
        <v>10</v>
      </c>
      <c r="C6" s="2">
        <v>1200000</v>
      </c>
      <c r="D6" s="2" t="s">
        <v>11</v>
      </c>
    </row>
    <row r="7" ht="60">
      <c r="A7" s="2" t="s">
        <v>12</v>
      </c>
      <c r="B7" s="2" t="s">
        <v>13</v>
      </c>
      <c r="C7" s="2">
        <v>950000</v>
      </c>
      <c r="D7" s="2" t="s">
        <v>14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2" max="2" width="12.57421875"/>
    <col customWidth="1" min="3" max="3" width="16.140625"/>
    <col customWidth="1" min="4" max="4" width="28.140625"/>
    <col customWidth="1" min="5" max="5" width="18.7109375"/>
    <col customWidth="1" min="6" max="6" width="16.7109375"/>
  </cols>
  <sheetData>
    <row r="1">
      <c r="A1" s="3"/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</row>
    <row r="2" ht="15">
      <c r="A2" t="s">
        <v>20</v>
      </c>
      <c r="B2" t="s">
        <v>21</v>
      </c>
      <c r="C2" s="4" t="s">
        <v>4</v>
      </c>
      <c r="D2">
        <f>VLOOKUP(C2,'danh-muc-linh-kien'!A4:D7,3,FALSE)</f>
        <v>450000</v>
      </c>
      <c r="E2" s="5" t="s">
        <v>22</v>
      </c>
      <c r="F2" s="6">
        <v>46032</v>
      </c>
    </row>
    <row r="3">
      <c r="A3" s="7" t="s">
        <v>23</v>
      </c>
      <c r="B3" s="7" t="s">
        <v>24</v>
      </c>
      <c r="C3" s="4" t="s">
        <v>9</v>
      </c>
      <c r="D3" s="8">
        <f>VLOOKUP(C3,'danh-muc-linh-kien'!A5:D8,3,FALSE)</f>
        <v>1200000</v>
      </c>
      <c r="E3" t="s">
        <v>25</v>
      </c>
      <c r="F3" s="6">
        <v>46034</v>
      </c>
    </row>
    <row r="4">
      <c r="A4" s="7" t="s">
        <v>26</v>
      </c>
      <c r="B4" s="7" t="s">
        <v>27</v>
      </c>
      <c r="C4" s="4" t="s">
        <v>7</v>
      </c>
      <c r="D4" s="8" t="e">
        <f>VLOOKUP(C4,'danh-muc-linh-kien'!A6:D9,3,FALSE)</f>
        <v>#N/A</v>
      </c>
      <c r="E4" t="s">
        <v>25</v>
      </c>
      <c r="F4" s="6">
        <v>46054</v>
      </c>
    </row>
    <row r="5">
      <c r="A5" s="7" t="s">
        <v>28</v>
      </c>
      <c r="B5" s="7" t="s">
        <v>29</v>
      </c>
      <c r="C5" t="s">
        <v>12</v>
      </c>
      <c r="D5" s="8">
        <f>VLOOKUP(C5,'danh-muc-linh-kien'!A7:D10,3,FALSE)</f>
        <v>950000</v>
      </c>
      <c r="E5" t="s">
        <v>30</v>
      </c>
      <c r="F5" s="6">
        <v>46068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2026-10-27T16:56:09Z</dcterms:modified>
</cp:coreProperties>
</file>